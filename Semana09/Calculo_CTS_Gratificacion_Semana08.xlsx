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6f7f4ffc44f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TS" sheetId="1" r:id="R078ccd47d71b4aeb"/>
    <x:sheet xmlns:r="http://schemas.openxmlformats.org/officeDocument/2006/relationships" name="Gratificación" sheetId="2" r:id="R301d41e335e748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S/ #,##0.00"/>
    <x:numFmt numFmtId="201" formatCode="0"/>
    <x:numFmt numFmtId="202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66666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7030A0"/>
      </x:patternFill>
    </x:fill>
    <x:fill>
      <x:patternFill patternType="solid">
        <x:fgColor rgb="FFE4DFEC"/>
      </x:patternFill>
    </x:fill>
  </x:fills>
  <x:borders count="2">
    <x:border/>
    <x:border/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2" fillId="4" borderId="0" xfId="0" applyNumberFormat="1" applyFont="1" applyFill="1" applyBorder="1" applyAlignment="1">
      <x:alignment horizontal="center" wrapText="1"/>
    </x:xf>
    <x:xf numFmtId="200" fontId="2" fillId="0" borderId="0" xfId="0" applyNumberFormat="1" applyFont="1" applyFill="1" applyBorder="1" applyAlignment="1">
      <x:alignment horizontal="center" wrapText="1"/>
    </x:xf>
    <x:xf numFmtId="200" fontId="2" fillId="5" borderId="0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  <x:xf numFmtId="200" fontId="2" fillId="4" borderId="1" xfId="0" applyNumberFormat="1" applyFont="1" applyFill="1" applyBorder="1" applyAlignment="1">
      <x:alignment horizontal="center" wrapText="1"/>
    </x:xf>
    <x:xf numFmtId="200" fontId="2" fillId="0" borderId="1" xfId="0" applyNumberFormat="1" applyFont="1" applyFill="1" applyBorder="1" applyAlignment="1">
      <x:alignment horizontal="center" wrapText="1"/>
    </x:xf>
    <x:xf numFmtId="200" fontId="2" fillId="5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200" fontId="2" fillId="4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200" fontId="2" fillId="5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200" fontId="2" fillId="4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200" fontId="2" fillId="0" borderId="1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200" fontId="2" fillId="5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6964c6dd6848cc" /><Relationship Type="http://schemas.openxmlformats.org/officeDocument/2006/relationships/theme" Target="/xl/theme/theme1.xml" Id="Rf56c9fa74b864453" /><Relationship Type="http://schemas.openxmlformats.org/officeDocument/2006/relationships/sharedStrings" Target="/xl/sharedStrings.xml" Id="Raeb45afa15be404b" /><Relationship Type="http://schemas.openxmlformats.org/officeDocument/2006/relationships/worksheet" Target="/xl/worksheets/sheet1.xml" Id="R078ccd47d71b4aeb" /><Relationship Type="http://schemas.openxmlformats.org/officeDocument/2006/relationships/worksheet" Target="/xl/worksheets/sheet2.xml" Id="R301d41e335e748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8" hidden="0" customWidth="1"/>
    <x:col min="4" max="4" width="42" hidden="0" customWidth="1"/>
  </x:cols>
  <x:sheetData>
    <x:row r="1" ht="24" customHeight="1">
      <x:c r="A1" s="52" t="str">
        <x:v>Cálculo de CTS - Ejemplo práctico</x:v>
      </x:c>
      <x:c r="B1" s="52"/>
      <x:c r="C1" s="52"/>
      <x:c r="D1" s="52"/>
    </x:row>
    <x:row r="2">
      <x:c r="A2" s="53"/>
      <x:c r="B2" s="53"/>
      <x:c r="C2" s="53"/>
      <x:c r="D2" s="53"/>
    </x:row>
    <x:row r="3">
      <x:c r="A3" s="14" t="str">
        <x:v>Concepto</x:v>
      </x:c>
      <x:c r="B3" s="14" t="str">
        <x:v>Valor ingresado / fórmula</x:v>
      </x:c>
      <x:c r="C3" s="14" t="str">
        <x:v>Resultado</x:v>
      </x:c>
      <x:c r="D3" s="14" t="str">
        <x:v>Explicación</x:v>
      </x:c>
    </x:row>
    <x:row r="4">
      <x:c r="A4" s="68" t="str">
        <x:v>Sueldo mensual</x:v>
      </x:c>
      <x:c r="B4" s="69" t="n">
        <x:v>2000</x:v>
      </x:c>
      <x:c r="C4" s="69" t="n">
        <x:f>B4</x:f>
        <x:v>2000</x:v>
      </x:c>
      <x:c r="D4" s="68" t="str">
        <x:v>Remuneración mensual del trabajador.</x:v>
      </x:c>
    </x:row>
    <x:row r="5">
      <x:c r="A5" s="68" t="str">
        <x:v>Gratificación percibida</x:v>
      </x:c>
      <x:c r="B5" s="69" t="n">
        <x:v>2000</x:v>
      </x:c>
      <x:c r="C5" s="69" t="n">
        <x:f>B5</x:f>
        <x:v>2000</x:v>
      </x:c>
      <x:c r="D5" s="68" t="str">
        <x:v>Monto de gratificación usado como base para el cálculo.</x:v>
      </x:c>
    </x:row>
    <x:row r="6">
      <x:c r="A6" s="68" t="str">
        <x:v>Meses trabajados</x:v>
      </x:c>
      <x:c r="B6" s="88" t="n">
        <x:v>6</x:v>
      </x:c>
      <x:c r="C6" s="88" t="n">
        <x:f>B6</x:f>
        <x:v>6</x:v>
      </x:c>
      <x:c r="D6" s="68" t="str">
        <x:v>Tiempo trabajado dentro del período semestral.</x:v>
      </x:c>
    </x:row>
    <x:row r="7">
      <x:c r="A7" s="68" t="str">
        <x:v>1/6 de la gratificación</x:v>
      </x:c>
      <x:c r="B7" s="69" t="n">
        <x:f>B5/6</x:f>
        <x:v>333.3333333333333</x:v>
      </x:c>
      <x:c r="C7" s="69" t="n">
        <x:f>B7</x:f>
        <x:v>333.3333333333333</x:v>
      </x:c>
      <x:c r="D7" s="68" t="str">
        <x:v>Gratificación ÷ 6</x:v>
      </x:c>
    </x:row>
    <x:row r="8">
      <x:c r="A8" s="68" t="str">
        <x:v>Remuneración computable</x:v>
      </x:c>
      <x:c r="B8" s="69" t="n">
        <x:f>B4+B7</x:f>
        <x:v>2333.3333333333335</x:v>
      </x:c>
      <x:c r="C8" s="69" t="n">
        <x:f>B8</x:f>
        <x:v>2333.3333333333335</x:v>
      </x:c>
      <x:c r="D8" s="68" t="str">
        <x:v>Sueldo + 1/6 de la gratificación</x:v>
      </x:c>
    </x:row>
    <x:row r="9">
      <x:c r="A9" s="68" t="str">
        <x:v>CTS a depositar</x:v>
      </x:c>
      <x:c r="B9" s="69" t="n">
        <x:f>B8*(B6/12)</x:f>
        <x:v>1166.6666666666667</x:v>
      </x:c>
      <x:c r="C9" s="69" t="n">
        <x:f>B9</x:f>
        <x:v>1166.6666666666667</x:v>
      </x:c>
      <x:c r="D9" s="68" t="str">
        <x:v>Remuneración computable × (Meses trabajados ÷ 12)</x:v>
      </x:c>
    </x:row>
    <x:row r="10">
      <x:c r="A10" s="68"/>
      <x:c r="B10" s="69"/>
      <x:c r="C10" s="69"/>
      <x:c r="D10" s="68"/>
    </x:row>
    <x:row r="11">
      <x:c r="A11" s="70" t="str">
        <x:v>Fórmula general</x:v>
      </x:c>
      <x:c r="B11" s="71"/>
      <x:c r="C11" s="71"/>
      <x:c r="D11" s="70"/>
    </x:row>
    <x:row r="12">
      <x:c r="A12" s="72" t="str">
        <x:v>CTS = (Sueldo + 1/6 de la gratificación) × (Meses trabajados / 12)</x:v>
      </x:c>
      <x:c r="B12" s="73"/>
      <x:c r="C12" s="73"/>
      <x:c r="D12" s="72"/>
    </x:row>
    <x:row r="13">
      <x:c r="A13" s="68"/>
      <x:c r="B13" s="69"/>
      <x:c r="C13" s="69"/>
      <x:c r="D13" s="68"/>
    </x:row>
    <x:row r="14">
      <x:c r="A14" s="74" t="str">
        <x:v>Ejemplo explicado</x:v>
      </x:c>
      <x:c r="B14" s="75"/>
      <x:c r="C14" s="75"/>
      <x:c r="D14" s="74"/>
    </x:row>
    <x:row r="15">
      <x:c r="A15" s="68" t="str">
        <x:v>Paso 1</x:v>
      </x:c>
      <x:c r="B15" s="69" t="str">
        <x:v>S/ 2,000 ÷ 6</x:v>
      </x:c>
      <x:c r="C15" s="69" t="str">
        <x:v>S/ 333.33</x:v>
      </x:c>
      <x:c r="D15" s="68" t="str">
        <x:v>Se obtiene un sexto de la gratificación.</x:v>
      </x:c>
    </x:row>
    <x:row r="16">
      <x:c r="A16" s="68" t="str">
        <x:v>Paso 2</x:v>
      </x:c>
      <x:c r="B16" s="69" t="str">
        <x:v>S/ 2,000 + S/ 333.33</x:v>
      </x:c>
      <x:c r="C16" s="69" t="str">
        <x:v>S/ 2,333.33</x:v>
      </x:c>
      <x:c r="D16" s="68" t="str">
        <x:v>Se obtiene la remuneración computable.</x:v>
      </x:c>
    </x:row>
    <x:row r="17">
      <x:c r="A17" s="68" t="str">
        <x:v>Paso 3</x:v>
      </x:c>
      <x:c r="B17" s="69" t="str">
        <x:v>6 ÷ 12</x:v>
      </x:c>
      <x:c r="C17" s="90" t="str">
        <x:v>0.50</x:v>
      </x:c>
      <x:c r="D17" s="68" t="str">
        <x:v>Se obtiene la proporción de meses trabajados.</x:v>
      </x:c>
    </x:row>
    <x:row r="18">
      <x:c r="A18" s="68" t="str">
        <x:v>Paso 4</x:v>
      </x:c>
      <x:c r="B18" s="69" t="str">
        <x:v>S/ 2,333.33 × 0.50</x:v>
      </x:c>
      <x:c r="C18" s="69" t="str">
        <x:v>S/ 1,166.67</x:v>
      </x:c>
      <x:c r="D18" s="68" t="str">
        <x:v>Resultado final de la CTS.</x:v>
      </x:c>
    </x:row>
    <x:row r="19">
      <x:c r="A19" s="68"/>
      <x:c r="B19" s="69"/>
      <x:c r="C19" s="69"/>
      <x:c r="D19" s="68"/>
    </x:row>
    <x:row r="20">
      <x:c r="A20" s="92" t="str">
        <x:v>Base del laboratorio: CTS = (Sueldo + 1/6 de la gratificación) × (Meses trabajados / 12).</x:v>
      </x:c>
      <x:c r="B20" s="93"/>
      <x:c r="C20" s="93"/>
      <x:c r="D20" s="92"/>
    </x:row>
  </x:sheetData>
  <x:mergeCells>
    <x:mergeCell ref="A1:D1"/>
    <x:mergeCell ref="A11:D11"/>
    <x:mergeCell ref="A12:D12"/>
    <x:mergeCell ref="A14:D14"/>
    <x:mergeCell ref="A20:D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8" hidden="0" customWidth="1"/>
    <x:col min="4" max="4" width="42" hidden="0" customWidth="1"/>
  </x:cols>
  <x:sheetData>
    <x:row r="1">
      <x:c r="A1" s="84" t="str">
        <x:v>Cálculo de Gratificación - Ejemplo práctico</x:v>
      </x:c>
      <x:c r="B1" s="84"/>
      <x:c r="C1" s="84"/>
      <x:c r="D1" s="84"/>
    </x:row>
    <x:row r="2">
      <x:c r="A2" s="53"/>
      <x:c r="B2" s="53"/>
      <x:c r="C2" s="53"/>
      <x:c r="D2" s="53"/>
    </x:row>
    <x:row r="3">
      <x:c r="A3" s="86" t="str">
        <x:v>Concepto</x:v>
      </x:c>
      <x:c r="B3" s="86" t="str">
        <x:v>Valor / fórmula</x:v>
      </x:c>
      <x:c r="C3" s="86" t="str">
        <x:v>Resultado</x:v>
      </x:c>
      <x:c r="D3" s="86" t="str">
        <x:v>Explicación</x:v>
      </x:c>
    </x:row>
    <x:row r="4">
      <x:c r="A4" s="68" t="str">
        <x:v>Remuneración computable</x:v>
      </x:c>
      <x:c r="B4" s="69" t="n">
        <x:v>2000</x:v>
      </x:c>
      <x:c r="C4" s="69" t="n">
        <x:f>B4</x:f>
        <x:v>2000</x:v>
      </x:c>
      <x:c r="D4" s="68" t="str">
        <x:v>Monto mensual usado para calcular la gratificación.</x:v>
      </x:c>
    </x:row>
    <x:row r="5">
      <x:c r="A5" s="68" t="str">
        <x:v>Meses trabajados</x:v>
      </x:c>
      <x:c r="B5" s="88" t="n">
        <x:v>6</x:v>
      </x:c>
      <x:c r="C5" s="88" t="n">
        <x:f>B5</x:f>
        <x:v>6</x:v>
      </x:c>
      <x:c r="D5" s="68" t="str">
        <x:v>Número de meses completos trabajados en el semestre.</x:v>
      </x:c>
    </x:row>
    <x:row r="6">
      <x:c r="A6" s="68" t="str">
        <x:v>Gratificación</x:v>
      </x:c>
      <x:c r="B6" s="69" t="n">
        <x:f>(B4/6)*B5</x:f>
        <x:v>2000</x:v>
      </x:c>
      <x:c r="C6" s="69" t="n">
        <x:f>B6</x:f>
        <x:v>2000</x:v>
      </x:c>
      <x:c r="D6" s="68" t="str">
        <x:v>(Remuneración / 6) × Meses trabajados.</x:v>
      </x:c>
    </x:row>
    <x:row r="7">
      <x:c r="A7" s="68"/>
      <x:c r="B7" s="69"/>
      <x:c r="C7" s="69"/>
      <x:c r="D7" s="68"/>
    </x:row>
    <x:row r="8">
      <x:c r="A8" s="70" t="str">
        <x:v>Fórmula</x:v>
      </x:c>
      <x:c r="B8" s="71"/>
      <x:c r="C8" s="71"/>
      <x:c r="D8" s="70"/>
    </x:row>
    <x:row r="9">
      <x:c r="A9" s="72" t="str">
        <x:v>Gratificación = (Remuneración computable / 6) × Meses trabajados</x:v>
      </x:c>
      <x:c r="B9" s="73"/>
      <x:c r="C9" s="73"/>
      <x:c r="D9" s="72"/>
    </x:row>
    <x:row r="10">
      <x:c r="A10" s="68"/>
      <x:c r="B10" s="69"/>
      <x:c r="C10" s="69"/>
      <x:c r="D10" s="68"/>
    </x:row>
    <x:row r="11">
      <x:c r="A11" s="68"/>
      <x:c r="B11" s="69"/>
      <x:c r="C11" s="69"/>
      <x:c r="D11" s="68"/>
    </x:row>
    <x:row r="12">
      <x:c r="A12" s="68"/>
      <x:c r="B12" s="69"/>
      <x:c r="C12" s="69"/>
      <x:c r="D12" s="68"/>
    </x:row>
    <x:row r="13">
      <x:c r="A13" s="68"/>
      <x:c r="B13" s="69"/>
      <x:c r="C13" s="69"/>
      <x:c r="D13" s="68"/>
    </x:row>
    <x:row r="14">
      <x:c r="A14" s="68"/>
      <x:c r="B14" s="69"/>
      <x:c r="C14" s="69"/>
      <x:c r="D14" s="68"/>
    </x:row>
    <x:row r="15">
      <x:c r="A15" s="68"/>
      <x:c r="B15" s="69"/>
      <x:c r="C15" s="69"/>
      <x:c r="D15" s="68"/>
    </x:row>
    <x:row r="16">
      <x:c r="A16" s="68"/>
      <x:c r="B16" s="69"/>
      <x:c r="C16" s="69"/>
      <x:c r="D16" s="68"/>
    </x:row>
    <x:row r="17">
      <x:c r="A17" s="68"/>
      <x:c r="B17" s="69"/>
      <x:c r="C17" s="69"/>
      <x:c r="D17" s="68"/>
    </x:row>
    <x:row r="18">
      <x:c r="A18" s="68"/>
      <x:c r="B18" s="69"/>
      <x:c r="C18" s="69"/>
      <x:c r="D18" s="68"/>
    </x:row>
    <x:row r="19">
      <x:c r="A19" s="68"/>
      <x:c r="B19" s="69"/>
      <x:c r="C19" s="69"/>
      <x:c r="D19" s="68"/>
    </x:row>
    <x:row r="20">
      <x:c r="A20" s="68"/>
      <x:c r="B20" s="69"/>
      <x:c r="C20" s="69"/>
      <x:c r="D20" s="68"/>
    </x:row>
  </x:sheetData>
  <x:mergeCells>
    <x:mergeCell ref="A1:D1"/>
    <x:mergeCell ref="A8:D8"/>
    <x:mergeCell ref="A9:D9"/>
  </x:mergeCells>
  <x:pageMargins left="0.7" right="0.7" top="0.75" bottom="0.75" header="0.3" footer="0.3"/>
</x:worksheet>
</file>